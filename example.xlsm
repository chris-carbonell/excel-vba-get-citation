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carbo\Desktop\testing\"/>
    </mc:Choice>
  </mc:AlternateContent>
  <xr:revisionPtr revIDLastSave="0" documentId="13_ncr:1_{FA53FDB1-E8DF-440D-821A-48A9F0D34631}" xr6:coauthVersionLast="47" xr6:coauthVersionMax="47" xr10:uidLastSave="{00000000-0000-0000-0000-000000000000}"/>
  <bookViews>
    <workbookView xWindow="-108" yWindow="-108" windowWidth="23256" windowHeight="12576" xr2:uid="{00000000-000D-0000-FFFF-FFFF00000000}"/>
  </bookViews>
  <sheets>
    <sheet name="References" sheetId="1" r:id="rId1"/>
  </sheets>
  <functionGroups builtInGroupCount="19"/>
  <definedNames>
    <definedName name="_xlnm._FilterDatabase" localSheetId="0" hidden="1">References!$A$1:$D$1</definedName>
    <definedName name="root">#REF!</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 i="1" l="1"/>
  <c r="A9" i="1"/>
  <c r="A8" i="1"/>
  <c r="A7" i="1"/>
  <c r="A6" i="1"/>
  <c r="A5" i="1"/>
  <c r="A4" i="1"/>
  <c r="A3" i="1"/>
  <c r="A2" i="1"/>
  <c r="B2" i="1"/>
  <c r="B3" i="1"/>
  <c r="B4" i="1"/>
  <c r="B5" i="1"/>
  <c r="B6" i="1"/>
  <c r="B7" i="1"/>
  <c r="B8" i="1"/>
  <c r="B9" i="1"/>
  <c r="B10" i="1"/>
  <c r="E10" i="1" l="1"/>
  <c r="F10" i="1" s="1"/>
  <c r="G10" i="1" s="1"/>
  <c r="H10" i="1" s="1"/>
  <c r="J10" i="1" s="1"/>
  <c r="K10" i="1"/>
  <c r="I10" i="1"/>
  <c r="K9" i="1"/>
  <c r="I9" i="1"/>
  <c r="E9" i="1"/>
  <c r="F9" i="1" s="1"/>
  <c r="G9" i="1" s="1"/>
  <c r="H9" i="1" s="1"/>
  <c r="J9" i="1" s="1"/>
  <c r="K8" i="1"/>
  <c r="I8" i="1"/>
  <c r="E8" i="1"/>
  <c r="F8" i="1" s="1"/>
  <c r="G8" i="1" s="1"/>
  <c r="H8" i="1" s="1"/>
  <c r="J8" i="1" s="1"/>
  <c r="K7" i="1"/>
  <c r="I7" i="1"/>
  <c r="E7" i="1"/>
  <c r="F7" i="1" s="1"/>
  <c r="G7" i="1" s="1"/>
  <c r="H7" i="1" s="1"/>
  <c r="J7" i="1" s="1"/>
  <c r="E6" i="1"/>
  <c r="F6" i="1" s="1"/>
  <c r="G6" i="1" s="1"/>
  <c r="H6" i="1" s="1"/>
  <c r="K6" i="1"/>
  <c r="I6" i="1"/>
  <c r="K5" i="1"/>
  <c r="I5" i="1"/>
  <c r="E5" i="1"/>
  <c r="F5" i="1" s="1"/>
  <c r="G5" i="1" s="1"/>
  <c r="H5" i="1" s="1"/>
  <c r="J5" i="1" s="1"/>
  <c r="K4" i="1"/>
  <c r="I4" i="1"/>
  <c r="E4" i="1"/>
  <c r="F4" i="1" s="1"/>
  <c r="G4" i="1" s="1"/>
  <c r="H4" i="1" s="1"/>
  <c r="J4" i="1" s="1"/>
  <c r="K3" i="1"/>
  <c r="I3" i="1"/>
  <c r="E3" i="1"/>
  <c r="F3" i="1" s="1"/>
  <c r="G3" i="1" s="1"/>
  <c r="H3" i="1" s="1"/>
  <c r="J3" i="1" s="1"/>
  <c r="K2" i="1"/>
  <c r="I2" i="1"/>
  <c r="E2" i="1"/>
  <c r="F2" i="1" s="1"/>
  <c r="G2" i="1" s="1"/>
  <c r="H2" i="1" s="1"/>
  <c r="J2" i="1" s="1"/>
  <c r="C9" i="1"/>
  <c r="C5" i="1" l="1"/>
  <c r="C7" i="1"/>
  <c r="J6" i="1"/>
  <c r="C6" i="1"/>
  <c r="D6" i="1" s="1"/>
  <c r="C2" i="1"/>
  <c r="C4" i="1"/>
  <c r="C8" i="1"/>
  <c r="D8" i="1" s="1"/>
  <c r="C10" i="1"/>
  <c r="D10" i="1" s="1"/>
  <c r="C3" i="1"/>
  <c r="D3" i="1" s="1"/>
  <c r="D4" i="1"/>
  <c r="D7" i="1"/>
  <c r="D9" i="1"/>
  <c r="D5" i="1"/>
  <c r="D2" i="1" l="1"/>
</calcChain>
</file>

<file path=xl/sharedStrings.xml><?xml version="1.0" encoding="utf-8"?>
<sst xmlns="http://schemas.openxmlformats.org/spreadsheetml/2006/main" count="11" uniqueCount="11">
  <si>
    <t>ID</t>
  </si>
  <si>
    <t>In-Text Citation</t>
  </si>
  <si>
    <t>Reference</t>
  </si>
  <si>
    <t>First Left Paren</t>
  </si>
  <si>
    <t>Comma Count</t>
  </si>
  <si>
    <t>Authors</t>
  </si>
  <si>
    <t>First Author</t>
  </si>
  <si>
    <t>Year</t>
  </si>
  <si>
    <t>Second Author</t>
  </si>
  <si>
    <t>Narrative Citation</t>
  </si>
  <si>
    <t>Parenthetical Citation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</si>
</sst>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b/>
      <sz val="11"/>
      <color rgb="FF0070C0"/>
      <name val="Calibri"/>
      <family val="2"/>
      <scheme val="minor"/>
    </font>
    <font>
      <sz val="11"/>
      <color theme="0" tint="-0.249977111117893"/>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Alignment="1">
      <alignment horizontal="center"/>
    </xf>
    <xf numFmtId="0" fontId="1" fillId="0" borderId="0" xfId="0" applyFont="1"/>
    <xf numFmtId="0" fontId="2" fillId="0" borderId="0" xfId="0" applyFont="1" applyAlignment="1">
      <alignment horizontal="fill"/>
    </xf>
    <xf numFmtId="0" fontId="0" fillId="0" borderId="0" xfId="0" applyBorder="1" applyAlignment="1">
      <alignment horizontal="center"/>
    </xf>
    <xf numFmtId="0" fontId="0" fillId="0" borderId="0" xfId="0" applyBorder="1"/>
    <xf numFmtId="0" fontId="3" fillId="0" borderId="0" xfId="0" applyFont="1" applyAlignment="1">
      <alignment horizontal="center"/>
    </xf>
    <xf numFmtId="0" fontId="3" fillId="0" borderId="0" xfId="0" applyFont="1"/>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C99FF"/>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
  <sheetViews>
    <sheetView tabSelected="1" workbookViewId="0"/>
  </sheetViews>
  <sheetFormatPr defaultRowHeight="14.4" x14ac:dyDescent="0.3"/>
  <cols>
    <col min="2" max="2" width="9.33203125" style="3" customWidth="1"/>
    <col min="3" max="3" width="23.88671875" style="5" bestFit="1" customWidth="1"/>
    <col min="4" max="4" width="23.88671875" customWidth="1"/>
    <col min="5" max="5" width="13.33203125" bestFit="1" customWidth="1"/>
    <col min="6" max="6" width="7.33203125" bestFit="1" customWidth="1"/>
    <col min="7" max="7" width="12.6640625" bestFit="1" customWidth="1"/>
    <col min="8" max="8" width="13.77734375" bestFit="1" customWidth="1"/>
    <col min="9" max="9" width="10.44140625" bestFit="1" customWidth="1"/>
    <col min="10" max="10" width="12.88671875" bestFit="1" customWidth="1"/>
  </cols>
  <sheetData>
    <row r="1" spans="1:11" x14ac:dyDescent="0.3">
      <c r="A1" s="1" t="s">
        <v>0</v>
      </c>
      <c r="B1" s="2" t="s">
        <v>2</v>
      </c>
      <c r="C1" s="4" t="s">
        <v>9</v>
      </c>
      <c r="D1" s="1" t="s">
        <v>10</v>
      </c>
      <c r="E1" s="6" t="s">
        <v>3</v>
      </c>
      <c r="F1" s="6" t="s">
        <v>5</v>
      </c>
      <c r="G1" s="6" t="s">
        <v>4</v>
      </c>
      <c r="H1" s="6" t="s">
        <v>1</v>
      </c>
      <c r="I1" s="6" t="s">
        <v>6</v>
      </c>
      <c r="J1" s="6" t="s">
        <v>8</v>
      </c>
      <c r="K1" s="6" t="s">
        <v>7</v>
      </c>
    </row>
    <row r="2" spans="1:11" x14ac:dyDescent="0.3">
      <c r="A2" s="1">
        <f t="shared" ref="A2:A10" si="0">ROW()-1</f>
        <v>1</v>
      </c>
      <c r="B2" s="3" t="str">
        <f>GetCitation("https://doi.org/10.1016/j.ijinfomgt.2020.102168")</f>
        <v xml:space="preserve">Dwivedi, Y. K., Ismagilova, E., Hughes, D. L., Carlson, J., Filieri, R., Jacobson, J., … Wang, Y. (2021). Setting the future of digital and social media marketing research: Perspectives and research propositions. International Journal of Information Management, 59, 102168. doi:10.1016/j.ijinfomgt.2020.102168
</v>
      </c>
      <c r="C2" s="5" t="str">
        <f>CHOOSE(
    MATCH(H2,{"single","double","several"},0),
    I2&amp;" "&amp;K2,
    I2&amp;" &amp; "&amp;J2&amp;" "&amp;K2,
    I2&amp;" et al. "&amp;K2
)</f>
        <v>Dwivedi et al. (2021)</v>
      </c>
      <c r="D2" t="str">
        <f t="shared" ref="D2" si="1">SUBSTITUTE(SUBSTITUTE(C2," (", ", "),")","")</f>
        <v>Dwivedi et al., 2021</v>
      </c>
      <c r="E2" s="7">
        <f>FIND("(",B2)</f>
        <v>99</v>
      </c>
      <c r="F2" s="7" t="str">
        <f>LEFT(B2,E2-2)</f>
        <v>Dwivedi, Y. K., Ismagilova, E., Hughes, D. L., Carlson, J., Filieri, R., Jacobson, J., … Wang, Y.</v>
      </c>
      <c r="G2" s="7">
        <f t="shared" ref="G2:G9" si="2">LEN(F2)-LEN(SUBSTITUTE(F2,",",""))</f>
        <v>13</v>
      </c>
      <c r="H2" s="7" t="str">
        <f t="shared" ref="H2:H9" si="3">CHOOSE(
    MIN(G2,4),
    "single",
    "impossible",
    "double",
    "several"
)</f>
        <v>several</v>
      </c>
      <c r="I2" s="7" t="str">
        <f>LEFT(B2,FIND(",",B2)-1)</f>
        <v>Dwivedi</v>
      </c>
      <c r="J2" s="7" t="str">
        <f>IF(
    H2="double",
    MID(B2,FIND("&amp;",B2)+2,FIND(" ",RIGHT(B2,LEN(B2)-FIND("&amp;",B2)-2-1))),
    "n/a"
)</f>
        <v>n/a</v>
      </c>
      <c r="K2" s="7" t="str">
        <f>MID(B2,FIND("(",B2),5)&amp;")"</f>
        <v>(2021)</v>
      </c>
    </row>
    <row r="3" spans="1:11" x14ac:dyDescent="0.3">
      <c r="A3" s="1">
        <f t="shared" si="0"/>
        <v>2</v>
      </c>
      <c r="B3" s="3" t="str">
        <f>GetCitation("https://doi.org/10.1016/j.ijinfomgt.2021.102313")</f>
        <v xml:space="preserve">Mikalef, P., Pappas, I. O., Krogstie, J., Jaccheri, L., &amp; Rana, N. (2021). Editors’ reflections and introduction to the special section on “Artificial Intelligence and Business Value.” International Journal of Information Management, 57, 102313. doi:10.1016/j.ijinfomgt.2021.102313
</v>
      </c>
      <c r="C3" s="5" t="str">
        <f>CHOOSE(
    MATCH(H3,{"single","double","several"},0),
    I3&amp;" "&amp;K3,
    I3&amp;" &amp; "&amp;J3&amp;" "&amp;K3,
    I3&amp;" et al. "&amp;K3
)</f>
        <v>Mikalef et al. (2021)</v>
      </c>
      <c r="D3" t="str">
        <f t="shared" ref="D3:D10" si="4">SUBSTITUTE(SUBSTITUTE(C3," (", ", "),")","")</f>
        <v>Mikalef et al., 2021</v>
      </c>
      <c r="E3" s="7">
        <f>FIND("(",B3)</f>
        <v>68</v>
      </c>
      <c r="F3" s="7" t="str">
        <f>LEFT(B3,E3-2)</f>
        <v>Mikalef, P., Pappas, I. O., Krogstie, J., Jaccheri, L., &amp; Rana, N.</v>
      </c>
      <c r="G3" s="7">
        <f t="shared" si="2"/>
        <v>9</v>
      </c>
      <c r="H3" s="7" t="str">
        <f t="shared" si="3"/>
        <v>several</v>
      </c>
      <c r="I3" s="7" t="str">
        <f>LEFT(B3,FIND(",",B3)-1)</f>
        <v>Mikalef</v>
      </c>
      <c r="J3" s="7" t="str">
        <f>IF(
    H3="double",
    MID(B3,FIND("&amp;",B3)+2,FIND(" ",RIGHT(B3,LEN(B3)-FIND("&amp;",B3)-2-1))),
    "n/a"
)</f>
        <v>n/a</v>
      </c>
      <c r="K3" s="7" t="str">
        <f>MID(B3,FIND("(",B3),5)&amp;")"</f>
        <v>(2021)</v>
      </c>
    </row>
    <row r="4" spans="1:11" x14ac:dyDescent="0.3">
      <c r="A4" s="1">
        <f t="shared" si="0"/>
        <v>3</v>
      </c>
      <c r="B4" s="3" t="str">
        <f>GetCitation("https://doi.org/10.1016/j.ijinfomgt.2019.03.008")</f>
        <v xml:space="preserve">Gursoy, D., Chi, O. H., Lu, L., &amp; Nunkoo, R. (2019). Consumers acceptance of artificially intelligent (AI) device use in service delivery. International Journal of Information Management, 49, 157–169. doi:10.1016/j.ijinfomgt.2019.03.008
</v>
      </c>
      <c r="C4" s="5" t="str">
        <f>CHOOSE(
    MATCH(H4,{"single","double","several"},0),
    I4&amp;" "&amp;K4,
    I4&amp;" &amp; "&amp;J4&amp;" "&amp;K4,
    I4&amp;" et al. "&amp;K4
)</f>
        <v>Gursoy et al. (2019)</v>
      </c>
      <c r="D4" t="str">
        <f t="shared" si="4"/>
        <v>Gursoy et al., 2019</v>
      </c>
      <c r="E4" s="7">
        <f>FIND("(",B4)</f>
        <v>46</v>
      </c>
      <c r="F4" s="7" t="str">
        <f>LEFT(B4,E4-2)</f>
        <v>Gursoy, D., Chi, O. H., Lu, L., &amp; Nunkoo, R.</v>
      </c>
      <c r="G4" s="7">
        <f t="shared" si="2"/>
        <v>7</v>
      </c>
      <c r="H4" s="7" t="str">
        <f t="shared" si="3"/>
        <v>several</v>
      </c>
      <c r="I4" s="7" t="str">
        <f>LEFT(B4,FIND(",",B4)-1)</f>
        <v>Gursoy</v>
      </c>
      <c r="J4" s="7" t="str">
        <f>IF(
    H4="double",
    MID(B4,FIND("&amp;",B4)+2,FIND(" ",RIGHT(B4,LEN(B4)-FIND("&amp;",B4)-2-1))),
    "n/a"
)</f>
        <v>n/a</v>
      </c>
      <c r="K4" s="7" t="str">
        <f>MID(B4,FIND("(",B4),5)&amp;")"</f>
        <v>(2019)</v>
      </c>
    </row>
    <row r="5" spans="1:11" x14ac:dyDescent="0.3">
      <c r="A5" s="1">
        <f t="shared" si="0"/>
        <v>4</v>
      </c>
      <c r="B5" s="3" t="str">
        <f>GetCitation("https://doi.org/10.1016/j.ijinfomgt.2019.01.021")</f>
        <v xml:space="preserve">Duan, Y., Edwards, J. S., &amp; Dwivedi, Y. K. (2019). Artificial intelligence for decision making in the era of Big Data – evolution, challenges and research agenda. International Journal of Information Management, 48, 63–71. doi:10.1016/j.ijinfomgt.2019.01.021
</v>
      </c>
      <c r="C5" s="5" t="str">
        <f>CHOOSE(
    MATCH(H5,{"single","double","several"},0),
    I5&amp;" "&amp;K5,
    I5&amp;" &amp; "&amp;J5&amp;" "&amp;K5,
    I5&amp;" et al. "&amp;K5
)</f>
        <v>Duan et al. (2019)</v>
      </c>
      <c r="D5" t="str">
        <f t="shared" si="4"/>
        <v>Duan et al., 2019</v>
      </c>
      <c r="E5" s="7">
        <f>FIND("(",B5)</f>
        <v>44</v>
      </c>
      <c r="F5" s="7" t="str">
        <f>LEFT(B5,E5-2)</f>
        <v>Duan, Y., Edwards, J. S., &amp; Dwivedi, Y. K.</v>
      </c>
      <c r="G5" s="7">
        <f t="shared" si="2"/>
        <v>5</v>
      </c>
      <c r="H5" s="7" t="str">
        <f t="shared" si="3"/>
        <v>several</v>
      </c>
      <c r="I5" s="7" t="str">
        <f>LEFT(B5,FIND(",",B5)-1)</f>
        <v>Duan</v>
      </c>
      <c r="J5" s="7" t="str">
        <f>IF(
    H5="double",
    MID(B5,FIND("&amp;",B5)+2,FIND(" ",RIGHT(B5,LEN(B5)-FIND("&amp;",B5)-2-1))),
    "n/a"
)</f>
        <v>n/a</v>
      </c>
      <c r="K5" s="7" t="str">
        <f>MID(B5,FIND("(",B5),5)&amp;")"</f>
        <v>(2019)</v>
      </c>
    </row>
    <row r="6" spans="1:11" x14ac:dyDescent="0.3">
      <c r="A6" s="1">
        <f t="shared" si="0"/>
        <v>5</v>
      </c>
      <c r="B6" s="3" t="str">
        <f>GetCitation("https://doi.org/10.1016/j.sftr.2019.100004")</f>
        <v xml:space="preserve">Sharma, G. D., Yadav, A., &amp; Chopra, R. (2020). Artificial intelligence and effective governance: A review, critique and research agenda. Sustainable Futures, 2, 100004. doi:10.1016/j.sftr.2019.100004
</v>
      </c>
      <c r="C6" s="5" t="str">
        <f>CHOOSE(
    MATCH(H6,{"single","double","several"},0),
    I6&amp;" "&amp;K6,
    I6&amp;" &amp; "&amp;J6&amp;" "&amp;K6,
    I6&amp;" et al. "&amp;K6
)</f>
        <v>Sharma et al. (2020)</v>
      </c>
      <c r="D6" t="str">
        <f t="shared" si="4"/>
        <v>Sharma et al., 2020</v>
      </c>
      <c r="E6" s="7">
        <f>FIND("(",B6)</f>
        <v>40</v>
      </c>
      <c r="F6" s="7" t="str">
        <f>LEFT(B6,E6-2)</f>
        <v>Sharma, G. D., Yadav, A., &amp; Chopra, R.</v>
      </c>
      <c r="G6" s="7">
        <f t="shared" si="2"/>
        <v>5</v>
      </c>
      <c r="H6" s="7" t="str">
        <f t="shared" si="3"/>
        <v>several</v>
      </c>
      <c r="I6" s="7" t="str">
        <f>LEFT(B6,FIND(",",B6)-1)</f>
        <v>Sharma</v>
      </c>
      <c r="J6" s="7" t="str">
        <f>IF(
    H6="double",
    MID(B6,FIND("&amp;",B6)+2,FIND(" ",RIGHT(B6,LEN(B6)-FIND("&amp;",B6)-2-1))),
    "n/a"
)</f>
        <v>n/a</v>
      </c>
      <c r="K6" s="7" t="str">
        <f>MID(B6,FIND("(",B6),5)&amp;")"</f>
        <v>(2020)</v>
      </c>
    </row>
    <row r="7" spans="1:11" x14ac:dyDescent="0.3">
      <c r="A7" s="1">
        <f t="shared" si="0"/>
        <v>6</v>
      </c>
      <c r="B7" s="3" t="str">
        <f>GetCitation("https://doi.org/10.1016/j.ijinfomgt.2019.02.006")</f>
        <v xml:space="preserve">Abubakar, A. M., Behravesh, E., Rezapouraghdam, H., &amp; Yildiz, S. B. (2019). Applying artificial intelligence technique to predict knowledge hiding behavior. International Journal of Information Management, 49, 45–57. doi:10.1016/j.ijinfomgt.2019.02.006
</v>
      </c>
      <c r="C7" s="5" t="str">
        <f>CHOOSE(
    MATCH(H7,{"single","double","several"},0),
    I7&amp;" "&amp;K7,
    I7&amp;" &amp; "&amp;J7&amp;" "&amp;K7,
    I7&amp;" et al. "&amp;K7
)</f>
        <v>Abubakar et al. (2019)</v>
      </c>
      <c r="D7" t="str">
        <f t="shared" si="4"/>
        <v>Abubakar et al., 2019</v>
      </c>
      <c r="E7" s="7">
        <f>FIND("(",B7)</f>
        <v>69</v>
      </c>
      <c r="F7" s="7" t="str">
        <f>LEFT(B7,E7-2)</f>
        <v>Abubakar, A. M., Behravesh, E., Rezapouraghdam, H., &amp; Yildiz, S. B.</v>
      </c>
      <c r="G7" s="7">
        <f t="shared" si="2"/>
        <v>7</v>
      </c>
      <c r="H7" s="7" t="str">
        <f t="shared" si="3"/>
        <v>several</v>
      </c>
      <c r="I7" s="7" t="str">
        <f>LEFT(B7,FIND(",",B7)-1)</f>
        <v>Abubakar</v>
      </c>
      <c r="J7" s="7" t="str">
        <f>IF(
    H7="double",
    MID(B7,FIND("&amp;",B7)+2,FIND(" ",RIGHT(B7,LEN(B7)-FIND("&amp;",B7)-2-1))),
    "n/a"
)</f>
        <v>n/a</v>
      </c>
      <c r="K7" s="7" t="str">
        <f>MID(B7,FIND("(",B7),5)&amp;")"</f>
        <v>(2019)</v>
      </c>
    </row>
    <row r="8" spans="1:11" x14ac:dyDescent="0.3">
      <c r="A8" s="1">
        <f t="shared" si="0"/>
        <v>7</v>
      </c>
      <c r="B8" s="3" t="str">
        <f>GetCitation("https://doi.org/10.1016/j.ijinfomgt.2019.102055")</f>
        <v xml:space="preserve">Ghasemaghaei, M. (2021). Understanding the impact of big data on firm performance: The necessity of conceptually differentiating among big data characteristics. International Journal of Information Management, 57, 102055. doi:10.1016/j.ijinfomgt.2019.102055
</v>
      </c>
      <c r="C8" s="5" t="str">
        <f>CHOOSE(
    MATCH(H8,{"single","double","several"},0),
    I8&amp;" "&amp;K8,
    I8&amp;" &amp; "&amp;J8&amp;" "&amp;K8,
    I8&amp;" et al. "&amp;K8
)</f>
        <v>Ghasemaghaei (2021)</v>
      </c>
      <c r="D8" t="str">
        <f t="shared" si="4"/>
        <v>Ghasemaghaei, 2021</v>
      </c>
      <c r="E8" s="7">
        <f>FIND("(",B8)</f>
        <v>18</v>
      </c>
      <c r="F8" s="7" t="str">
        <f>LEFT(B8,E8-2)</f>
        <v>Ghasemaghaei, M.</v>
      </c>
      <c r="G8" s="7">
        <f t="shared" si="2"/>
        <v>1</v>
      </c>
      <c r="H8" s="7" t="str">
        <f t="shared" si="3"/>
        <v>single</v>
      </c>
      <c r="I8" s="7" t="str">
        <f>LEFT(B8,FIND(",",B8)-1)</f>
        <v>Ghasemaghaei</v>
      </c>
      <c r="J8" s="7" t="str">
        <f>IF(
    H8="double",
    MID(B8,FIND("&amp;",B8)+2,FIND(" ",RIGHT(B8,LEN(B8)-FIND("&amp;",B8)-2-1))),
    "n/a"
)</f>
        <v>n/a</v>
      </c>
      <c r="K8" s="7" t="str">
        <f>MID(B8,FIND("(",B8),5)&amp;")"</f>
        <v>(2021)</v>
      </c>
    </row>
    <row r="9" spans="1:11" x14ac:dyDescent="0.3">
      <c r="A9" s="1">
        <f t="shared" si="0"/>
        <v>8</v>
      </c>
      <c r="B9" s="3" t="str">
        <f>GetCitation("https://doi.org/10.1016/j.techfore.2020.120420")</f>
        <v xml:space="preserve">Bag, S., Pretorius, J. H. C., Gupta, S., &amp; Dwivedi, Y. K. (2021). Role of institutional pressures and resources in the adoption of big data analytics powered artificial intelligence, sustainable manufacturing practices and circular economy capabilities. Technological Forecasting and Social Change, 163, 120420. doi:10.1016/j.techfore.2020.120420
</v>
      </c>
      <c r="C9" s="5" t="str">
        <f>CHOOSE(
    MATCH(H9,{"single","double","several"},0),
    I9&amp;" "&amp;K9,
    I9&amp;" &amp; "&amp;J9&amp;" "&amp;K9,
    I9&amp;" et al. "&amp;K9
)</f>
        <v>Bag et al. (2021)</v>
      </c>
      <c r="D9" t="str">
        <f t="shared" si="4"/>
        <v>Bag et al., 2021</v>
      </c>
      <c r="E9" s="7">
        <f>FIND("(",B9)</f>
        <v>59</v>
      </c>
      <c r="F9" s="7" t="str">
        <f>LEFT(B9,E9-2)</f>
        <v>Bag, S., Pretorius, J. H. C., Gupta, S., &amp; Dwivedi, Y. K.</v>
      </c>
      <c r="G9" s="7">
        <f t="shared" si="2"/>
        <v>7</v>
      </c>
      <c r="H9" s="7" t="str">
        <f t="shared" si="3"/>
        <v>several</v>
      </c>
      <c r="I9" s="7" t="str">
        <f>LEFT(B9,FIND(",",B9)-1)</f>
        <v>Bag</v>
      </c>
      <c r="J9" s="7" t="str">
        <f>IF(
    H9="double",
    MID(B9,FIND("&amp;",B9)+2,FIND(" ",RIGHT(B9,LEN(B9)-FIND("&amp;",B9)-2-1))),
    "n/a"
)</f>
        <v>n/a</v>
      </c>
      <c r="K9" s="7" t="str">
        <f>MID(B9,FIND("(",B9),5)&amp;")"</f>
        <v>(2021)</v>
      </c>
    </row>
    <row r="10" spans="1:11" x14ac:dyDescent="0.3">
      <c r="A10" s="1">
        <f t="shared" si="0"/>
        <v>9</v>
      </c>
      <c r="B10" s="3" t="str">
        <f>GetCitation("https://doi.org/10.1016/j.chb.2021.106763")</f>
        <v xml:space="preserve">Vimalkumar, M., Sharma, S. K., Singh, J. B., &amp; Dwivedi, Y. K. (2021). “Okay google, what about my privacy?”: User’s privacy perceptions and acceptance of voice based digital assistants. Computers in Human Behavior, 120, 106763. doi:10.1016/j.chb.2021.106763
</v>
      </c>
      <c r="C10" s="5" t="str">
        <f>CHOOSE(
    MATCH(H10,{"single","double","several"},0),
    I10&amp;" "&amp;K10,
    I10&amp;" &amp; "&amp;J10&amp;" "&amp;K10,
    I10&amp;" et al. "&amp;K10
)</f>
        <v>Vimalkumar et al. (2021)</v>
      </c>
      <c r="D10" t="str">
        <f t="shared" si="4"/>
        <v>Vimalkumar et al., 2021</v>
      </c>
      <c r="E10" s="7">
        <f>FIND("(",B10)</f>
        <v>63</v>
      </c>
      <c r="F10" s="7" t="str">
        <f>LEFT(B10,E10-2)</f>
        <v>Vimalkumar, M., Sharma, S. K., Singh, J. B., &amp; Dwivedi, Y. K.</v>
      </c>
      <c r="G10" s="7">
        <f t="shared" ref="G10" si="5">LEN(F10)-LEN(SUBSTITUTE(F10,",",""))</f>
        <v>7</v>
      </c>
      <c r="H10" s="7" t="str">
        <f t="shared" ref="H10" si="6">CHOOSE(
    MIN(G10,4),
    "single",
    "impossible",
    "double",
    "several"
)</f>
        <v>several</v>
      </c>
      <c r="I10" s="7" t="str">
        <f>LEFT(B10,FIND(",",B10)-1)</f>
        <v>Vimalkumar</v>
      </c>
      <c r="J10" s="7" t="str">
        <f>IF(
    H10="double",
    MID(B10,FIND("&amp;",B10)+2,FIND(" ",RIGHT(B10,LEN(B10)-FIND("&amp;",B10)-2-1))),
    "n/a"
)</f>
        <v>n/a</v>
      </c>
      <c r="K10" s="7" t="str">
        <f>MID(B10,FIND("(",B10),5)&amp;")"</f>
        <v>(2021)</v>
      </c>
    </row>
  </sheetData>
  <conditionalFormatting sqref="C1:C1048576">
    <cfRule type="duplicateValues" dxfId="0" priority="1"/>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carbo</dc:creator>
  <cp:lastModifiedBy>carbo</cp:lastModifiedBy>
  <dcterms:created xsi:type="dcterms:W3CDTF">2015-06-05T18:17:20Z</dcterms:created>
  <dcterms:modified xsi:type="dcterms:W3CDTF">2021-07-02T19:15:35Z</dcterms:modified>
</cp:coreProperties>
</file>